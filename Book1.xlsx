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85D8322A-E070-4720-ABEB-5DEB4CE11BDE}" xr6:coauthVersionLast="47" xr6:coauthVersionMax="47" xr10:uidLastSave="{00000000-0000-0000-0000-000000000000}"/>
  <bookViews>
    <workbookView xWindow="-108" yWindow="-108" windowWidth="23256" windowHeight="13896" xr2:uid="{5A03E01C-8D8B-4EBF-AABA-7F63DF71B10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G21" i="1" s="1"/>
  <c r="D20" i="1"/>
  <c r="D23" i="1" s="1"/>
  <c r="G19" i="1"/>
  <c r="F19" i="1"/>
  <c r="D19" i="1"/>
  <c r="D17" i="1"/>
  <c r="G17" i="1" s="1"/>
  <c r="D14" i="1"/>
  <c r="G14" i="1" s="1"/>
  <c r="G10" i="1"/>
  <c r="F10" i="1"/>
  <c r="G8" i="1"/>
  <c r="F8" i="1"/>
  <c r="G7" i="1"/>
  <c r="F7" i="1"/>
  <c r="G6" i="1"/>
  <c r="F6" i="1"/>
  <c r="G4" i="1"/>
  <c r="C1" i="1"/>
  <c r="B1" i="1"/>
  <c r="F4" i="1" s="1"/>
  <c r="D25" i="1" l="1"/>
  <c r="D27" i="1"/>
  <c r="F23" i="1"/>
  <c r="G23" i="1" s="1"/>
  <c r="F20" i="1"/>
  <c r="G20" i="1"/>
  <c r="F21" i="1"/>
  <c r="F14" i="1"/>
  <c r="F17" i="1"/>
  <c r="G27" i="1" l="1"/>
  <c r="F27" i="1"/>
  <c r="G25" i="1"/>
  <c r="F25" i="1"/>
</calcChain>
</file>

<file path=xl/sharedStrings.xml><?xml version="1.0" encoding="utf-8"?>
<sst xmlns="http://schemas.openxmlformats.org/spreadsheetml/2006/main" count="25" uniqueCount="25">
  <si>
    <t>JAN</t>
  </si>
  <si>
    <t>INCOME</t>
  </si>
  <si>
    <t>BASIC</t>
  </si>
  <si>
    <t>PAY</t>
  </si>
  <si>
    <t>INDV%</t>
  </si>
  <si>
    <t>TEAM%</t>
  </si>
  <si>
    <t>SALARY</t>
  </si>
  <si>
    <t>ALLOWANCES</t>
  </si>
  <si>
    <t>HP</t>
  </si>
  <si>
    <t>CAR</t>
  </si>
  <si>
    <t>LOCAL FUEL</t>
  </si>
  <si>
    <t>OUTSTATION FUEL</t>
  </si>
  <si>
    <t>HOUSING</t>
  </si>
  <si>
    <t>FOOD</t>
  </si>
  <si>
    <t>OTHERS</t>
  </si>
  <si>
    <t>TOTAL FIXED INCOME</t>
  </si>
  <si>
    <t>COMISSION</t>
  </si>
  <si>
    <t>SALES</t>
  </si>
  <si>
    <t>INCENTIVE</t>
  </si>
  <si>
    <t>COLLECTION</t>
  </si>
  <si>
    <t>ACTIVE CALL</t>
  </si>
  <si>
    <t>QUATERLY</t>
  </si>
  <si>
    <t>TOTAL</t>
  </si>
  <si>
    <t>EPF 2%</t>
  </si>
  <si>
    <t>GRAND TOTAL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</si>
</sst>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2" fontId="0" fillId="0" borderId="0" xfId="0" applyNumberFormat="1"/>
    <xf numFmtId="10" fontId="0" fillId="0" borderId="0" xfId="0" applyNumberFormat="1"/>
    <xf numFmtId="0" fontId="0" fillId="4" borderId="0" xfId="0" applyFill="1"/>
    <xf numFmtId="2" fontId="0" fillId="4" borderId="0" xfId="0" applyNumberFormat="1" applyFill="1"/>
    <xf numFmtId="10" fontId="0" fillId="4" borderId="0" xfId="0" applyNumberFormat="1" applyFill="1"/>
    <xf numFmtId="2" fontId="0" fillId="3" borderId="0" xfId="0" applyNumberFormat="1" applyFill="1"/>
    <xf numFmtId="4" fontId="0" fillId="0" borderId="0" xfId="0" applyNumberFormat="1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Sales%20Income%20Calculation%202026.xlsx" TargetMode="External"/><Relationship Id="rId1" Type="http://schemas.openxmlformats.org/officeDocument/2006/relationships/externalLinkPath" Target="Sales%20Income%20Calculation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Sheet"/>
      <sheetName val="25 Data"/>
      <sheetName val="Salary Summary "/>
      <sheetName val="Antoni Sales Income"/>
      <sheetName val="Crystal Sales Income "/>
      <sheetName val="Sim Sale Income"/>
      <sheetName val="Chow Sales Income"/>
    </sheetNames>
    <sheetDataSet>
      <sheetData sheetId="0">
        <row r="2">
          <cell r="B2" t="str">
            <v>MONTH</v>
          </cell>
          <cell r="C2" t="str">
            <v>TARGET 25</v>
          </cell>
          <cell r="D2" t="str">
            <v>SALES ACH 25</v>
          </cell>
          <cell r="E2" t="str">
            <v>SALES vs TGT</v>
          </cell>
          <cell r="F2" t="str">
            <v>SALES % HIT</v>
          </cell>
          <cell r="G2" t="str">
            <v>COMMISSION</v>
          </cell>
          <cell r="H2" t="str">
            <v>QTR INCENTIVE</v>
          </cell>
          <cell r="I2" t="str">
            <v>COLLECTION</v>
          </cell>
          <cell r="J2" t="str">
            <v>COLLECTION PAID</v>
          </cell>
          <cell r="K2" t="str">
            <v>ATC CALL TARGET</v>
          </cell>
          <cell r="L2" t="str">
            <v>ATV CALL</v>
          </cell>
          <cell r="M2" t="str">
            <v xml:space="preserve">ACTIVE CALL PAID </v>
          </cell>
        </row>
        <row r="3">
          <cell r="B3" t="str">
            <v>JAN</v>
          </cell>
          <cell r="C3">
            <v>287000</v>
          </cell>
          <cell r="D3">
            <v>303726.77</v>
          </cell>
          <cell r="E3">
            <v>16726.770000000019</v>
          </cell>
          <cell r="F3">
            <v>1.0582814285714286</v>
          </cell>
          <cell r="G3">
            <v>3037.2677000000003</v>
          </cell>
          <cell r="I3">
            <v>238990</v>
          </cell>
          <cell r="J3">
            <v>200</v>
          </cell>
          <cell r="K3">
            <v>120</v>
          </cell>
          <cell r="L3">
            <v>98</v>
          </cell>
          <cell r="M3">
            <v>350</v>
          </cell>
        </row>
        <row r="4">
          <cell r="B4" t="str">
            <v>FEB</v>
          </cell>
          <cell r="E4">
            <v>0</v>
          </cell>
          <cell r="F4" t="str">
            <v/>
          </cell>
          <cell r="G4" t="str">
            <v/>
          </cell>
          <cell r="J4">
            <v>0</v>
          </cell>
          <cell r="M4">
            <v>0</v>
          </cell>
        </row>
        <row r="5">
          <cell r="B5" t="str">
            <v>MAR</v>
          </cell>
          <cell r="E5">
            <v>0</v>
          </cell>
          <cell r="F5" t="str">
            <v/>
          </cell>
          <cell r="G5" t="str">
            <v/>
          </cell>
          <cell r="H5">
            <v>400</v>
          </cell>
          <cell r="J5">
            <v>0</v>
          </cell>
          <cell r="M5">
            <v>0</v>
          </cell>
        </row>
        <row r="6">
          <cell r="B6" t="str">
            <v>APR</v>
          </cell>
          <cell r="E6">
            <v>0</v>
          </cell>
          <cell r="F6" t="str">
            <v/>
          </cell>
          <cell r="G6" t="str">
            <v/>
          </cell>
          <cell r="J6">
            <v>0</v>
          </cell>
          <cell r="M6">
            <v>0</v>
          </cell>
        </row>
        <row r="7">
          <cell r="B7" t="str">
            <v>MAY</v>
          </cell>
          <cell r="E7">
            <v>0</v>
          </cell>
          <cell r="F7" t="str">
            <v/>
          </cell>
          <cell r="G7" t="str">
            <v/>
          </cell>
          <cell r="J7">
            <v>0</v>
          </cell>
          <cell r="M7">
            <v>0</v>
          </cell>
        </row>
        <row r="8">
          <cell r="B8" t="str">
            <v>JUN</v>
          </cell>
          <cell r="E8">
            <v>0</v>
          </cell>
          <cell r="F8" t="str">
            <v/>
          </cell>
          <cell r="G8" t="str">
            <v/>
          </cell>
          <cell r="H8" t="str">
            <v/>
          </cell>
          <cell r="J8">
            <v>0</v>
          </cell>
          <cell r="M8">
            <v>0</v>
          </cell>
        </row>
        <row r="9">
          <cell r="B9" t="str">
            <v>JUL</v>
          </cell>
          <cell r="E9">
            <v>0</v>
          </cell>
          <cell r="F9" t="str">
            <v/>
          </cell>
          <cell r="G9" t="str">
            <v/>
          </cell>
          <cell r="J9">
            <v>0</v>
          </cell>
          <cell r="M9">
            <v>0</v>
          </cell>
        </row>
        <row r="10">
          <cell r="B10" t="str">
            <v>AUG</v>
          </cell>
          <cell r="E10">
            <v>0</v>
          </cell>
          <cell r="F10" t="str">
            <v/>
          </cell>
          <cell r="G10" t="str">
            <v/>
          </cell>
          <cell r="J10">
            <v>0</v>
          </cell>
          <cell r="M10">
            <v>0</v>
          </cell>
        </row>
        <row r="11">
          <cell r="B11" t="str">
            <v>SEP</v>
          </cell>
          <cell r="E11">
            <v>0</v>
          </cell>
          <cell r="F11" t="str">
            <v/>
          </cell>
          <cell r="G11" t="str">
            <v/>
          </cell>
          <cell r="H11" t="str">
            <v/>
          </cell>
          <cell r="J11">
            <v>0</v>
          </cell>
          <cell r="M11">
            <v>0</v>
          </cell>
        </row>
        <row r="12">
          <cell r="B12" t="str">
            <v>OCT</v>
          </cell>
          <cell r="E12">
            <v>0</v>
          </cell>
          <cell r="F12" t="str">
            <v/>
          </cell>
          <cell r="G12" t="str">
            <v/>
          </cell>
          <cell r="J12">
            <v>0</v>
          </cell>
          <cell r="M12">
            <v>0</v>
          </cell>
        </row>
        <row r="13">
          <cell r="B13" t="str">
            <v>NOV</v>
          </cell>
          <cell r="E13">
            <v>0</v>
          </cell>
          <cell r="F13" t="str">
            <v/>
          </cell>
          <cell r="G13" t="str">
            <v/>
          </cell>
          <cell r="J13">
            <v>0</v>
          </cell>
          <cell r="M13">
            <v>0</v>
          </cell>
        </row>
        <row r="14">
          <cell r="B14" t="str">
            <v>DEC</v>
          </cell>
          <cell r="E14">
            <v>0</v>
          </cell>
          <cell r="F14" t="str">
            <v/>
          </cell>
          <cell r="G14" t="str">
            <v/>
          </cell>
          <cell r="H14" t="str">
            <v/>
          </cell>
          <cell r="J14">
            <v>0</v>
          </cell>
          <cell r="M14">
            <v>0</v>
          </cell>
        </row>
        <row r="15">
          <cell r="B15" t="str">
            <v>Total</v>
          </cell>
          <cell r="C15">
            <v>287000</v>
          </cell>
          <cell r="D15">
            <v>303726.77</v>
          </cell>
          <cell r="E15">
            <v>16726.770000000019</v>
          </cell>
          <cell r="F15">
            <v>1.0582814285714286</v>
          </cell>
          <cell r="G15">
            <v>3340.9944700000001</v>
          </cell>
          <cell r="H15">
            <v>400</v>
          </cell>
          <cell r="I15">
            <v>238990</v>
          </cell>
          <cell r="J15">
            <v>200</v>
          </cell>
          <cell r="K15">
            <v>120</v>
          </cell>
          <cell r="M15">
            <v>350</v>
          </cell>
        </row>
        <row r="63">
          <cell r="B63" t="str">
            <v>GROUP SUMMARY</v>
          </cell>
          <cell r="C63" t="str">
            <v>TARGET 25</v>
          </cell>
          <cell r="D63" t="str">
            <v>SALES ACH 25</v>
          </cell>
        </row>
        <row r="64">
          <cell r="B64" t="str">
            <v>JAN</v>
          </cell>
          <cell r="C64">
            <v>700000</v>
          </cell>
          <cell r="D64">
            <v>747758.92</v>
          </cell>
        </row>
        <row r="65">
          <cell r="B65" t="str">
            <v>FEB</v>
          </cell>
          <cell r="C65">
            <v>0</v>
          </cell>
          <cell r="D65">
            <v>0</v>
          </cell>
        </row>
        <row r="66">
          <cell r="B66" t="str">
            <v>MAR</v>
          </cell>
          <cell r="C66">
            <v>0</v>
          </cell>
          <cell r="D66">
            <v>0</v>
          </cell>
        </row>
        <row r="67">
          <cell r="B67" t="str">
            <v>APR</v>
          </cell>
          <cell r="C67">
            <v>0</v>
          </cell>
          <cell r="D67">
            <v>0</v>
          </cell>
        </row>
        <row r="68">
          <cell r="B68" t="str">
            <v>MAY</v>
          </cell>
          <cell r="C68">
            <v>0</v>
          </cell>
          <cell r="D68">
            <v>0</v>
          </cell>
        </row>
        <row r="69">
          <cell r="B69" t="str">
            <v>JUN</v>
          </cell>
          <cell r="C69">
            <v>0</v>
          </cell>
          <cell r="D69">
            <v>0</v>
          </cell>
        </row>
        <row r="70">
          <cell r="B70" t="str">
            <v>JUL</v>
          </cell>
          <cell r="C70">
            <v>0</v>
          </cell>
          <cell r="D70">
            <v>0</v>
          </cell>
        </row>
        <row r="71">
          <cell r="B71" t="str">
            <v>AUG</v>
          </cell>
          <cell r="C71">
            <v>0</v>
          </cell>
          <cell r="D71">
            <v>0</v>
          </cell>
        </row>
        <row r="72">
          <cell r="B72" t="str">
            <v>SEP</v>
          </cell>
          <cell r="C72">
            <v>0</v>
          </cell>
          <cell r="D72">
            <v>0</v>
          </cell>
        </row>
        <row r="73">
          <cell r="B73" t="str">
            <v>OCT</v>
          </cell>
          <cell r="C73">
            <v>0</v>
          </cell>
          <cell r="D73">
            <v>0</v>
          </cell>
        </row>
        <row r="74">
          <cell r="B74" t="str">
            <v>NOV</v>
          </cell>
          <cell r="C74">
            <v>0</v>
          </cell>
          <cell r="D74">
            <v>0</v>
          </cell>
        </row>
        <row r="75">
          <cell r="B75" t="str">
            <v>DEC</v>
          </cell>
          <cell r="C75">
            <v>0</v>
          </cell>
          <cell r="D75">
            <v>0</v>
          </cell>
        </row>
      </sheetData>
      <sheetData sheetId="1"/>
      <sheetData sheetId="2"/>
      <sheetData sheetId="3">
        <row r="1">
          <cell r="A1" t="str">
            <v>JAN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DBB8D-3607-4F4F-AEED-D4C6F55C3B31}">
  <dimension ref="A1:J27"/>
  <sheetViews>
    <sheetView tabSelected="1" workbookViewId="0">
      <selection sqref="A1:XFD1048576"/>
    </sheetView>
  </sheetViews>
  <sheetFormatPr defaultRowHeight="14.4" x14ac:dyDescent="0.3"/>
  <cols>
    <col min="1" max="1" width="20.6640625" bestFit="1" customWidth="1"/>
    <col min="2" max="3" width="16.5546875" customWidth="1"/>
    <col min="6" max="6" width="12.33203125" bestFit="1" customWidth="1"/>
    <col min="7" max="7" width="12.33203125" customWidth="1"/>
  </cols>
  <sheetData>
    <row r="1" spans="1:10" ht="17.25" customHeight="1" x14ac:dyDescent="0.3">
      <c r="A1" s="1" t="s">
        <v>0</v>
      </c>
      <c r="B1">
        <f>VLOOKUP(A1,'[1]Data Sheet'!$B$2:$D$14,3,FALSE)</f>
        <v>303726.77</v>
      </c>
      <c r="C1">
        <f>VLOOKUP('[1]Antoni Sales Income'!A1,'[1]Data Sheet'!$B$63:$D$75,3,FALSE)</f>
        <v>747758.92</v>
      </c>
    </row>
    <row r="2" spans="1:10" x14ac:dyDescent="0.3">
      <c r="A2" s="2" t="s">
        <v>1</v>
      </c>
      <c r="B2" s="2"/>
      <c r="C2" s="2"/>
      <c r="D2" s="2"/>
      <c r="E2" s="2"/>
      <c r="F2" s="2"/>
      <c r="G2" s="2"/>
      <c r="H2" s="3"/>
      <c r="I2" s="3"/>
      <c r="J2" s="3"/>
    </row>
    <row r="3" spans="1:10" x14ac:dyDescent="0.3">
      <c r="A3" s="4" t="s">
        <v>2</v>
      </c>
      <c r="B3" s="4"/>
      <c r="C3" s="4"/>
      <c r="D3" s="5" t="s">
        <v>3</v>
      </c>
      <c r="E3" s="5"/>
      <c r="F3" s="6" t="s">
        <v>4</v>
      </c>
      <c r="G3" s="6" t="s">
        <v>5</v>
      </c>
      <c r="H3" s="4"/>
      <c r="I3" s="4"/>
      <c r="J3" s="4"/>
    </row>
    <row r="4" spans="1:10" x14ac:dyDescent="0.3">
      <c r="A4" t="s">
        <v>6</v>
      </c>
      <c r="D4" s="7">
        <v>1700</v>
      </c>
      <c r="F4" s="8">
        <f>D4/B1</f>
        <v>5.5971358731401908E-3</v>
      </c>
      <c r="G4" s="8">
        <f>D4/C1</f>
        <v>2.2734600076719912E-3</v>
      </c>
    </row>
    <row r="5" spans="1:10" x14ac:dyDescent="0.3">
      <c r="A5" s="4" t="s">
        <v>7</v>
      </c>
      <c r="B5" s="4"/>
      <c r="C5" s="4"/>
      <c r="D5" s="4"/>
      <c r="E5" s="4"/>
      <c r="F5" s="4"/>
      <c r="G5" s="4"/>
      <c r="H5" s="4"/>
      <c r="I5" s="4"/>
      <c r="J5" s="4"/>
    </row>
    <row r="6" spans="1:10" x14ac:dyDescent="0.3">
      <c r="A6" t="s">
        <v>8</v>
      </c>
      <c r="D6" s="7">
        <v>50</v>
      </c>
      <c r="F6" s="8">
        <f>D6/B1</f>
        <v>1.6462164332765267E-4</v>
      </c>
      <c r="G6" s="8">
        <f>D6/C1</f>
        <v>6.6866470813882096E-5</v>
      </c>
    </row>
    <row r="7" spans="1:10" x14ac:dyDescent="0.3">
      <c r="A7" t="s">
        <v>9</v>
      </c>
      <c r="D7" s="7">
        <v>80</v>
      </c>
      <c r="F7" s="8">
        <f>D7/B1</f>
        <v>2.6339462932424427E-4</v>
      </c>
      <c r="G7" s="8">
        <f>D7/C1</f>
        <v>1.0698635330221135E-4</v>
      </c>
    </row>
    <row r="8" spans="1:10" x14ac:dyDescent="0.3">
      <c r="A8" t="s">
        <v>10</v>
      </c>
      <c r="D8" s="7">
        <v>250</v>
      </c>
      <c r="F8" s="8">
        <f>D8/B1</f>
        <v>8.2310821663826334E-4</v>
      </c>
      <c r="G8" s="8">
        <f>D8/C1</f>
        <v>3.3433235406941047E-4</v>
      </c>
    </row>
    <row r="9" spans="1:10" x14ac:dyDescent="0.3">
      <c r="A9" t="s">
        <v>11</v>
      </c>
      <c r="D9" s="7">
        <v>0</v>
      </c>
    </row>
    <row r="10" spans="1:10" x14ac:dyDescent="0.3">
      <c r="A10" t="s">
        <v>12</v>
      </c>
      <c r="D10" s="7">
        <v>450</v>
      </c>
      <c r="F10" s="8">
        <f>D10/B1</f>
        <v>1.481594789948874E-3</v>
      </c>
      <c r="G10" s="8">
        <f>D10/C1</f>
        <v>6.0179823732493885E-4</v>
      </c>
    </row>
    <row r="11" spans="1:10" x14ac:dyDescent="0.3">
      <c r="A11" t="s">
        <v>13</v>
      </c>
      <c r="D11" s="7">
        <v>0</v>
      </c>
    </row>
    <row r="12" spans="1:10" x14ac:dyDescent="0.3">
      <c r="A12" t="s">
        <v>14</v>
      </c>
      <c r="D12" s="7">
        <v>0</v>
      </c>
    </row>
    <row r="14" spans="1:10" x14ac:dyDescent="0.3">
      <c r="A14" s="9" t="s">
        <v>15</v>
      </c>
      <c r="B14" s="9"/>
      <c r="C14" s="9"/>
      <c r="D14" s="10">
        <f>SUM(D4:D13)</f>
        <v>2530</v>
      </c>
      <c r="E14" s="9"/>
      <c r="F14" s="11">
        <f>D14/B1</f>
        <v>8.3298551523792244E-3</v>
      </c>
      <c r="G14" s="11">
        <f>D14/C1</f>
        <v>3.3834434231824343E-3</v>
      </c>
      <c r="H14" s="9"/>
      <c r="I14" s="9"/>
      <c r="J14" s="9"/>
    </row>
    <row r="16" spans="1:10" x14ac:dyDescent="0.3">
      <c r="A16" s="4" t="s">
        <v>16</v>
      </c>
      <c r="B16" s="4"/>
      <c r="C16" s="4"/>
      <c r="D16" s="12"/>
      <c r="E16" s="4"/>
      <c r="F16" s="4"/>
      <c r="G16" s="4"/>
      <c r="H16" s="4"/>
      <c r="I16" s="4"/>
      <c r="J16" s="4"/>
    </row>
    <row r="17" spans="1:10" x14ac:dyDescent="0.3">
      <c r="A17" t="s">
        <v>17</v>
      </c>
      <c r="D17" s="7">
        <f>VLOOKUP(A1,'[1]Data Sheet'!$B$3:$G$14,6,FALSE)</f>
        <v>3037.2677000000003</v>
      </c>
      <c r="F17" s="8">
        <f>D17/B1</f>
        <v>0.01</v>
      </c>
      <c r="G17" s="8">
        <f>D17/C1</f>
        <v>4.0618274403199364E-3</v>
      </c>
    </row>
    <row r="18" spans="1:10" x14ac:dyDescent="0.3">
      <c r="A18" s="4" t="s">
        <v>18</v>
      </c>
      <c r="B18" s="4"/>
      <c r="C18" s="4"/>
      <c r="D18" s="4"/>
      <c r="E18" s="4"/>
      <c r="F18" s="4"/>
      <c r="G18" s="4"/>
      <c r="H18" s="4"/>
      <c r="I18" s="4"/>
      <c r="J18" s="4"/>
    </row>
    <row r="19" spans="1:10" x14ac:dyDescent="0.3">
      <c r="A19" t="s">
        <v>19</v>
      </c>
      <c r="D19" s="13">
        <f>VLOOKUP(A1,'[1]Data Sheet'!$B$2:$J$14,9,FALSE)</f>
        <v>200</v>
      </c>
      <c r="F19" s="8">
        <f>D19/B1</f>
        <v>6.5848657331061069E-4</v>
      </c>
      <c r="G19" s="8">
        <f>D19/C1</f>
        <v>2.6746588325552838E-4</v>
      </c>
    </row>
    <row r="20" spans="1:10" x14ac:dyDescent="0.3">
      <c r="A20" t="s">
        <v>20</v>
      </c>
      <c r="D20" s="14">
        <f>VLOOKUP(A1,'[1]Data Sheet'!$B$2:$M$15,12,FALSE)</f>
        <v>350</v>
      </c>
      <c r="F20" s="8">
        <f>D20/B1</f>
        <v>1.1523515032935687E-3</v>
      </c>
      <c r="G20" s="8">
        <f>D20/C1</f>
        <v>4.6806529569717468E-4</v>
      </c>
    </row>
    <row r="21" spans="1:10" x14ac:dyDescent="0.3">
      <c r="A21" t="s">
        <v>21</v>
      </c>
      <c r="D21" s="13">
        <f>VLOOKUP(A1,'[1]Data Sheet'!$B$2:$H$14,7,FALSE)</f>
        <v>0</v>
      </c>
      <c r="F21" s="8">
        <f>D21/B1</f>
        <v>0</v>
      </c>
      <c r="G21" s="8">
        <f>D21/C1</f>
        <v>0</v>
      </c>
    </row>
    <row r="22" spans="1:10" x14ac:dyDescent="0.3">
      <c r="F22" s="8"/>
    </row>
    <row r="23" spans="1:10" x14ac:dyDescent="0.3">
      <c r="A23" t="s">
        <v>22</v>
      </c>
      <c r="D23" s="7">
        <f>SUM(D14,D17,D19:D21)</f>
        <v>6117.2677000000003</v>
      </c>
      <c r="F23" s="8">
        <f>D23/B1</f>
        <v>2.0140693228983406E-2</v>
      </c>
      <c r="G23" s="8">
        <f>F23/C1</f>
        <v>2.6934741519343435E-8</v>
      </c>
    </row>
    <row r="24" spans="1:10" x14ac:dyDescent="0.3">
      <c r="F24" s="8"/>
    </row>
    <row r="25" spans="1:10" x14ac:dyDescent="0.3">
      <c r="A25" t="s">
        <v>23</v>
      </c>
      <c r="D25" s="7">
        <f>D23*(2%)</f>
        <v>122.34535400000001</v>
      </c>
      <c r="F25" s="8">
        <f>D25/B1</f>
        <v>4.0281386457966813E-4</v>
      </c>
      <c r="G25" s="8">
        <f>D25/C1</f>
        <v>1.6361604084910147E-4</v>
      </c>
    </row>
    <row r="26" spans="1:10" x14ac:dyDescent="0.3">
      <c r="F26" s="8"/>
    </row>
    <row r="27" spans="1:10" x14ac:dyDescent="0.3">
      <c r="A27" t="s">
        <v>24</v>
      </c>
      <c r="D27" s="7">
        <f>D23-D25</f>
        <v>5994.9223460000003</v>
      </c>
      <c r="F27" s="8">
        <f>D27/B1</f>
        <v>1.9737879364403736E-2</v>
      </c>
      <c r="G27" s="8">
        <f>D27/C1</f>
        <v>8.0171860016059714E-3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Phua</dc:creator>
  <cp:lastModifiedBy>Jacky Phua</cp:lastModifiedBy>
  <dcterms:created xsi:type="dcterms:W3CDTF">2026-02-06T05:57:26Z</dcterms:created>
  <dcterms:modified xsi:type="dcterms:W3CDTF">2026-02-06T05:57:38Z</dcterms:modified>
</cp:coreProperties>
</file>